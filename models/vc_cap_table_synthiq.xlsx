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e-Money Structure" sheetId="2" state="visible" r:id="rId2"/>
    <sheet name="Post-Seed" sheetId="3" state="visible" r:id="rId3"/>
    <sheet name="Post-Series A" sheetId="4" state="visible" r:id="rId4"/>
    <sheet name="Post-Series B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  <bgColor rgb="00E0E0E0"/>
      </patternFill>
    </fill>
    <fill>
      <patternFill patternType="solid">
        <fgColor rgb="00E8F4F8"/>
        <bgColor rgb="00E8F4F8"/>
      </patternFill>
    </fill>
    <fill>
      <patternFill patternType="solid">
        <fgColor rgb="00D4E6F1"/>
        <bgColor rgb="00D4E6F1"/>
      </patternFill>
    </fill>
    <fill>
      <patternFill patternType="solid">
        <fgColor rgb="00FFF2CC"/>
        <bgColor rgb="00FFF2CC"/>
      </patternFill>
    </fill>
    <fill>
      <patternFill patternType="solid">
        <fgColor rgb="00D5E8D4"/>
        <bgColor rgb="00D5E8D4"/>
      </patternFill>
    </fill>
    <fill>
      <patternFill patternType="solid">
        <fgColor rgb="00B6D7A8"/>
        <bgColor rgb="00B6D7A8"/>
      </patternFill>
    </fill>
    <fill>
      <patternFill patternType="solid">
        <fgColor rgb="0097CB6B"/>
        <bgColor rgb="0097CB6B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3" borderId="1" pivotButton="0" quotePrefix="0" xfId="0"/>
    <xf numFmtId="0" fontId="2" fillId="5" borderId="1" applyAlignment="1" pivotButton="0" quotePrefix="0" xfId="0">
      <alignment horizontal="center"/>
    </xf>
    <xf numFmtId="10" fontId="2" fillId="3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Ownership % by Stakeholder Class Over Rounds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'Summary'!$A$4:$A$8</f>
            </numRef>
          </cat>
          <val>
            <numRef>
              <f>'Summary'!$B$4:$B$8</f>
            </numRef>
          </val>
        </ser>
        <ser>
          <idx val="1"/>
          <order val="1"/>
          <tx>
            <strRef>
              <f>'Summary'!C3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'Summary'!$A$4:$A$8</f>
            </numRef>
          </cat>
          <val>
            <numRef>
              <f>'Summary'!$C$4:$C$8</f>
            </numRef>
          </val>
        </ser>
        <ser>
          <idx val="2"/>
          <order val="2"/>
          <tx>
            <strRef>
              <f>'Summary'!D3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'Summary'!$A$4:$A$8</f>
            </numRef>
          </cat>
          <val>
            <numRef>
              <f>'Summary'!$D$4:$D$8</f>
            </numRef>
          </val>
        </ser>
        <ser>
          <idx val="3"/>
          <order val="3"/>
          <tx>
            <strRef>
              <f>'Summary'!E3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'Summary'!$A$4:$A$8</f>
            </numRef>
          </cat>
          <val>
            <numRef>
              <f>'Summary'!$E$4:$E$8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Funding Round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Ownership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ASSUMPTIONS</t>
        </is>
      </c>
      <c r="B1" s="2" t="n"/>
    </row>
    <row r="3">
      <c r="A3" s="3" t="inlineStr">
        <is>
          <t>Initial Share Structure</t>
        </is>
      </c>
    </row>
    <row r="4">
      <c r="A4" t="inlineStr">
        <is>
          <t>Total Initial Shares</t>
        </is>
      </c>
      <c r="B4" t="n">
        <v>8000000</v>
      </c>
    </row>
    <row r="5">
      <c r="A5" t="inlineStr">
        <is>
          <t>Founder 1 Initial %</t>
        </is>
      </c>
      <c r="B5" s="4" t="n">
        <v>0.625</v>
      </c>
    </row>
    <row r="6">
      <c r="A6" t="inlineStr">
        <is>
          <t>Founder 2 Initial %</t>
        </is>
      </c>
      <c r="B6" s="4" t="n">
        <v>0.25</v>
      </c>
    </row>
    <row r="7">
      <c r="A7" t="inlineStr">
        <is>
          <t>Initial Option Pool %</t>
        </is>
      </c>
      <c r="B7" s="4" t="n">
        <v>0.125</v>
      </c>
    </row>
    <row r="9">
      <c r="A9" s="3" t="inlineStr">
        <is>
          <t>Seed Round</t>
        </is>
      </c>
    </row>
    <row r="10">
      <c r="A10" t="inlineStr">
        <is>
          <t>Pre-Money Valuation</t>
        </is>
      </c>
      <c r="B10" s="5" t="n">
        <v>8000000</v>
      </c>
    </row>
    <row r="11">
      <c r="A11" t="inlineStr">
        <is>
          <t>Investment Amount</t>
        </is>
      </c>
      <c r="B11" s="5" t="n">
        <v>2000000</v>
      </c>
    </row>
    <row r="12">
      <c r="A12" t="inlineStr">
        <is>
          <t>Option Pool Refresh % (Post-Money)</t>
        </is>
      </c>
      <c r="B12" s="4" t="n">
        <v>0.1</v>
      </c>
    </row>
    <row r="14">
      <c r="A14" s="3" t="inlineStr">
        <is>
          <t>Series A Round</t>
        </is>
      </c>
    </row>
    <row r="15">
      <c r="A15" t="inlineStr">
        <is>
          <t>Pre-Money Valuation</t>
        </is>
      </c>
      <c r="B15" s="5" t="n">
        <v>40000000</v>
      </c>
    </row>
    <row r="16">
      <c r="A16" t="inlineStr">
        <is>
          <t>Investment Amount</t>
        </is>
      </c>
      <c r="B16" s="5" t="n">
        <v>10000000</v>
      </c>
    </row>
    <row r="17">
      <c r="A17" t="inlineStr">
        <is>
          <t>Option Pool Refresh % (Post-Money)</t>
        </is>
      </c>
      <c r="B17" s="4" t="n">
        <v>0.1</v>
      </c>
    </row>
    <row r="19">
      <c r="A19" s="3" t="inlineStr">
        <is>
          <t>Series B Round</t>
        </is>
      </c>
    </row>
    <row r="20">
      <c r="A20" t="inlineStr">
        <is>
          <t>Pre-Money Valuation</t>
        </is>
      </c>
      <c r="B20" s="5" t="n">
        <v>120000000</v>
      </c>
    </row>
    <row r="21">
      <c r="A21" t="inlineStr">
        <is>
          <t>Investment Amount</t>
        </is>
      </c>
      <c r="B21" s="5" t="n">
        <v>30000000</v>
      </c>
    </row>
    <row r="22">
      <c r="A22" t="inlineStr">
        <is>
          <t>Option Pool Refresh % (Post-Money)</t>
        </is>
      </c>
      <c r="B22" s="4" t="n">
        <v>0.1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PRE-MONEY STRUCTURE (INITIAL)</t>
        </is>
      </c>
      <c r="B1" s="6" t="n"/>
      <c r="C1" s="2" t="n"/>
    </row>
    <row r="3">
      <c r="A3" s="7" t="inlineStr">
        <is>
          <t>Stakeholder</t>
        </is>
      </c>
      <c r="B3" s="7" t="inlineStr">
        <is>
          <t>Shares</t>
        </is>
      </c>
      <c r="C3" s="7" t="inlineStr">
        <is>
          <t>Ownership %</t>
        </is>
      </c>
    </row>
    <row r="4">
      <c r="A4" s="8" t="inlineStr">
        <is>
          <t>Founder 1</t>
        </is>
      </c>
      <c r="B4" s="9">
        <f>Assumptions!B4*Assumptions!B3</f>
        <v/>
      </c>
      <c r="C4" s="10">
        <f>Assumptions!B4</f>
        <v/>
      </c>
    </row>
    <row r="5">
      <c r="A5" s="11" t="inlineStr">
        <is>
          <t>Founder 2</t>
        </is>
      </c>
      <c r="B5" s="9">
        <f>Assumptions!B5*Assumptions!B3</f>
        <v/>
      </c>
      <c r="C5" s="10">
        <f>Assumptions!B5</f>
        <v/>
      </c>
    </row>
    <row r="6">
      <c r="A6" s="12" t="inlineStr">
        <is>
          <t>Option Pool (Employees)</t>
        </is>
      </c>
      <c r="B6" s="9">
        <f>Assumptions!B6*Assumptions!B3</f>
        <v/>
      </c>
      <c r="C6" s="10">
        <f>Assumptions!B6</f>
        <v/>
      </c>
    </row>
    <row r="7">
      <c r="A7" s="13" t="inlineStr">
        <is>
          <t>TOTAL</t>
        </is>
      </c>
      <c r="B7" s="9">
        <f>Assumptions!B3</f>
        <v/>
      </c>
      <c r="C7" s="10">
        <f>SUM(C4:C6)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POST-SEED ROUND</t>
        </is>
      </c>
      <c r="B1" s="6" t="n"/>
      <c r="C1" s="6" t="n"/>
      <c r="D1" s="6" t="n"/>
      <c r="E1" s="2" t="n"/>
    </row>
    <row r="3">
      <c r="A3" t="inlineStr">
        <is>
          <t>Pre-Money Valuation</t>
        </is>
      </c>
      <c r="B3" s="5">
        <f>Assumptions!B9</f>
        <v/>
      </c>
    </row>
    <row r="4">
      <c r="A4" t="inlineStr">
        <is>
          <t>Pre-Money Shares</t>
        </is>
      </c>
      <c r="B4">
        <f>'Pre-Money Structure'!B7</f>
        <v/>
      </c>
    </row>
    <row r="5">
      <c r="A5" t="inlineStr">
        <is>
          <t>Price per Share</t>
        </is>
      </c>
      <c r="B5" s="5">
        <f>IF(OR(B4=0,B4=""),0,B3/B4)</f>
        <v/>
      </c>
    </row>
    <row r="6">
      <c r="A6" t="inlineStr">
        <is>
          <t>Investment Amount</t>
        </is>
      </c>
      <c r="B6" s="5">
        <f>Assumptions!B10</f>
        <v/>
      </c>
    </row>
    <row r="7">
      <c r="A7" t="inlineStr">
        <is>
          <t>New Shares Issued</t>
        </is>
      </c>
      <c r="B7">
        <f>IF(OR(B5=0,B5=""),0,B6/B5)</f>
        <v/>
      </c>
    </row>
    <row r="8">
      <c r="A8" t="inlineStr">
        <is>
          <t>Post-Money Valuation</t>
        </is>
      </c>
      <c r="B8" s="5">
        <f>B3+B6</f>
        <v/>
      </c>
    </row>
    <row r="9">
      <c r="A9" t="inlineStr">
        <is>
          <t>Option Pool Refresh %</t>
        </is>
      </c>
      <c r="B9" s="4">
        <f>Assumptions!B11</f>
        <v/>
      </c>
    </row>
    <row r="10">
      <c r="A10" t="inlineStr">
        <is>
          <t>Pool Refresh Shares</t>
        </is>
      </c>
      <c r="B10">
        <f>IFERROR(IF(OR(B8&gt;=1,B8=""),0,IF(OR(B4=0,B7=0,B4="",B7=""),0,(B4+B7)*B8/MAX(0.0001,1-B8))),0)</f>
        <v/>
      </c>
    </row>
    <row r="11">
      <c r="A11" t="inlineStr">
        <is>
          <t>Post-Money Shares</t>
        </is>
      </c>
      <c r="B11">
        <f>B4+B7+B9</f>
        <v/>
      </c>
    </row>
    <row r="12">
      <c r="A12" s="8" t="inlineStr">
        <is>
          <t>Founder 1</t>
        </is>
      </c>
      <c r="B12" s="9">
        <f>'Pre-Money Structure'!B4</f>
        <v/>
      </c>
      <c r="C12" s="9" t="n">
        <v>0</v>
      </c>
      <c r="D12" s="9">
        <f>B12</f>
        <v/>
      </c>
      <c r="E12" s="10">
        <f>IF(OR(B10=0,B10=""),0,D12/B10)</f>
        <v/>
      </c>
    </row>
    <row r="13">
      <c r="A13" s="14" t="inlineStr">
        <is>
          <t>Founder 2</t>
        </is>
      </c>
      <c r="B13" s="7">
        <f>'Pre-Money Structure'!B5</f>
        <v/>
      </c>
      <c r="C13" s="7" t="n">
        <v>0</v>
      </c>
      <c r="D13" s="7">
        <f>B13</f>
        <v/>
      </c>
      <c r="E13" s="15">
        <f>IF(OR(B10=0,B10=""),0,D13/B10)</f>
        <v/>
      </c>
    </row>
    <row r="14">
      <c r="A14" s="12" t="inlineStr">
        <is>
          <t>Option Pool (Employees)</t>
        </is>
      </c>
      <c r="B14" s="9">
        <f>'Pre-Money Structure'!B6</f>
        <v/>
      </c>
      <c r="C14" s="9">
        <f>B9</f>
        <v/>
      </c>
      <c r="D14" s="9">
        <f>B14+C14</f>
        <v/>
      </c>
      <c r="E14" s="10">
        <f>IF(OR(B10=0,B10=""),0,D14/B10)</f>
        <v/>
      </c>
    </row>
    <row r="15">
      <c r="A15" s="16" t="inlineStr">
        <is>
          <t>Seed Investors</t>
        </is>
      </c>
      <c r="B15" s="9" t="n">
        <v>0</v>
      </c>
      <c r="C15" s="9">
        <f>B7</f>
        <v/>
      </c>
      <c r="D15" s="9">
        <f>B15+C15</f>
        <v/>
      </c>
      <c r="E15" s="10">
        <f>IF(OR(B10=0,B10=""),0,D15/B10)</f>
        <v/>
      </c>
    </row>
    <row r="16">
      <c r="A16" s="13" t="inlineStr">
        <is>
          <t>TOTAL</t>
        </is>
      </c>
      <c r="B16" s="9">
        <f>SUM(B12:B15)</f>
        <v/>
      </c>
      <c r="C16" s="9">
        <f>SUM(C12:C15)</f>
        <v/>
      </c>
      <c r="D16" s="9">
        <f>B10</f>
        <v/>
      </c>
      <c r="E16" s="10">
        <f>SUM(E12:E15)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POST-SERIES A ROUND</t>
        </is>
      </c>
      <c r="B1" s="6" t="n"/>
      <c r="C1" s="6" t="n"/>
      <c r="D1" s="6" t="n"/>
      <c r="E1" s="2" t="n"/>
    </row>
    <row r="3">
      <c r="A3" t="inlineStr">
        <is>
          <t>Pre-Money Valuation</t>
        </is>
      </c>
      <c r="B3" s="5">
        <f>Assumptions!B14</f>
        <v/>
      </c>
    </row>
    <row r="4">
      <c r="A4" t="inlineStr">
        <is>
          <t>Pre-Money Shares</t>
        </is>
      </c>
      <c r="B4">
        <f>'Post-Seed'!B10</f>
        <v/>
      </c>
    </row>
    <row r="5">
      <c r="A5" t="inlineStr">
        <is>
          <t>Price per Share</t>
        </is>
      </c>
      <c r="B5" s="5">
        <f>IF(OR(B4=0,B4=""),0,B3/B4)</f>
        <v/>
      </c>
    </row>
    <row r="6">
      <c r="A6" t="inlineStr">
        <is>
          <t>Investment Amount</t>
        </is>
      </c>
      <c r="B6" s="5">
        <f>Assumptions!B15</f>
        <v/>
      </c>
    </row>
    <row r="7">
      <c r="A7" t="inlineStr">
        <is>
          <t>New Shares Issued</t>
        </is>
      </c>
      <c r="B7">
        <f>IF(OR(B5=0,B5=""),0,B6/B5)</f>
        <v/>
      </c>
    </row>
    <row r="8">
      <c r="A8" t="inlineStr">
        <is>
          <t>Post-Money Valuation</t>
        </is>
      </c>
      <c r="B8" s="5">
        <f>B3+B6</f>
        <v/>
      </c>
    </row>
    <row r="9">
      <c r="A9" t="inlineStr">
        <is>
          <t>Option Pool Refresh %</t>
        </is>
      </c>
      <c r="B9" s="4">
        <f>Assumptions!B16</f>
        <v/>
      </c>
    </row>
    <row r="10">
      <c r="A10" t="inlineStr">
        <is>
          <t>Pool Refresh Shares</t>
        </is>
      </c>
      <c r="B10">
        <f>IFERROR(IF(OR(B8&gt;=1,B8=""),0,IF(OR(B4=0,B7=0,B4="",B7=""),0,(B4+B7)*B8/MAX(0.0001,1-B8))),0)</f>
        <v/>
      </c>
    </row>
    <row r="11">
      <c r="A11" t="inlineStr">
        <is>
          <t>Post-Money Shares</t>
        </is>
      </c>
      <c r="B11">
        <f>B4+B7+B9</f>
        <v/>
      </c>
    </row>
    <row r="12">
      <c r="A12" s="8" t="inlineStr">
        <is>
          <t>Founder 1</t>
        </is>
      </c>
      <c r="B12" s="9">
        <f>'Post-Seed'!D12</f>
        <v/>
      </c>
      <c r="C12" s="9" t="n">
        <v>0</v>
      </c>
      <c r="D12" s="9">
        <f>B12</f>
        <v/>
      </c>
      <c r="E12" s="10">
        <f>IF(OR(B10=0,B10=""),0,D12/B10)</f>
        <v/>
      </c>
    </row>
    <row r="13">
      <c r="A13" s="14" t="inlineStr">
        <is>
          <t>Founder 2</t>
        </is>
      </c>
      <c r="B13" s="7">
        <f>'Post-Seed'!D13</f>
        <v/>
      </c>
      <c r="C13" s="7" t="n">
        <v>0</v>
      </c>
      <c r="D13" s="7">
        <f>B13</f>
        <v/>
      </c>
      <c r="E13" s="15">
        <f>IF(OR(B10=0,B10=""),0,D13/B10)</f>
        <v/>
      </c>
    </row>
    <row r="14">
      <c r="A14" s="12" t="inlineStr">
        <is>
          <t>Option Pool (Employees)</t>
        </is>
      </c>
      <c r="B14" s="9">
        <f>'Post-Seed'!D14</f>
        <v/>
      </c>
      <c r="C14" s="9">
        <f>B9</f>
        <v/>
      </c>
      <c r="D14" s="9">
        <f>B14+C14</f>
        <v/>
      </c>
      <c r="E14" s="10">
        <f>IF(OR(B10=0,B10=""),0,D14/B10)</f>
        <v/>
      </c>
    </row>
    <row r="15">
      <c r="A15" s="16" t="inlineStr">
        <is>
          <t>Seed Investors</t>
        </is>
      </c>
      <c r="B15" s="9">
        <f>'Post-Seed'!D15</f>
        <v/>
      </c>
      <c r="C15" s="9" t="n">
        <v>0</v>
      </c>
      <c r="D15" s="9">
        <f>B15</f>
        <v/>
      </c>
      <c r="E15" s="10">
        <f>IF(OR(B10=0,B10=""),0,D15/B10)</f>
        <v/>
      </c>
    </row>
    <row r="16">
      <c r="A16" s="17" t="inlineStr">
        <is>
          <t>Series A Investors</t>
        </is>
      </c>
      <c r="B16" s="9" t="n">
        <v>0</v>
      </c>
      <c r="C16" s="9">
        <f>B7</f>
        <v/>
      </c>
      <c r="D16" s="9">
        <f>B16+C16</f>
        <v/>
      </c>
      <c r="E16" s="10">
        <f>IF(OR(B10=0,B10=""),0,D16/B10)</f>
        <v/>
      </c>
    </row>
    <row r="17">
      <c r="A17" s="13" t="inlineStr">
        <is>
          <t>TOTAL</t>
        </is>
      </c>
      <c r="B17" s="9">
        <f>SUM(B12:B16)</f>
        <v/>
      </c>
      <c r="C17" s="9">
        <f>SUM(C12:C16)</f>
        <v/>
      </c>
      <c r="D17" s="9">
        <f>B10</f>
        <v/>
      </c>
      <c r="E17" s="10">
        <f>SUM(E12:E16)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POST-SERIES B ROUND</t>
        </is>
      </c>
      <c r="B1" s="6" t="n"/>
      <c r="C1" s="6" t="n"/>
      <c r="D1" s="6" t="n"/>
      <c r="E1" s="2" t="n"/>
    </row>
    <row r="3">
      <c r="A3" t="inlineStr">
        <is>
          <t>Pre-Money Valuation</t>
        </is>
      </c>
      <c r="B3" s="5">
        <f>Assumptions!B19</f>
        <v/>
      </c>
    </row>
    <row r="4">
      <c r="A4" t="inlineStr">
        <is>
          <t>Pre-Money Shares</t>
        </is>
      </c>
      <c r="B4">
        <f>'Post-Series A'!B10</f>
        <v/>
      </c>
    </row>
    <row r="5">
      <c r="A5" t="inlineStr">
        <is>
          <t>Price per Share</t>
        </is>
      </c>
      <c r="B5" s="5">
        <f>IF(OR(B4=0,B4=""),0,B3/B4)</f>
        <v/>
      </c>
    </row>
    <row r="6">
      <c r="A6" t="inlineStr">
        <is>
          <t>Investment Amount</t>
        </is>
      </c>
      <c r="B6" s="5">
        <f>Assumptions!B20</f>
        <v/>
      </c>
    </row>
    <row r="7">
      <c r="A7" t="inlineStr">
        <is>
          <t>New Shares Issued</t>
        </is>
      </c>
      <c r="B7">
        <f>IF(OR(B5=0,B5=""),0,B6/B5)</f>
        <v/>
      </c>
    </row>
    <row r="8">
      <c r="A8" t="inlineStr">
        <is>
          <t>Post-Money Valuation</t>
        </is>
      </c>
      <c r="B8" s="5">
        <f>B3+B6</f>
        <v/>
      </c>
    </row>
    <row r="9">
      <c r="A9" t="inlineStr">
        <is>
          <t>Option Pool Refresh %</t>
        </is>
      </c>
      <c r="B9" s="4">
        <f>Assumptions!B21</f>
        <v/>
      </c>
    </row>
    <row r="10">
      <c r="A10" t="inlineStr">
        <is>
          <t>Pool Refresh Shares</t>
        </is>
      </c>
      <c r="B10">
        <f>IFERROR(IF(OR(B8&gt;=1,B8=""),0,IF(OR(B4=0,B7=0,B4="",B7=""),0,(B4+B7)*B8/MAX(0.0001,1-B8))),0)</f>
        <v/>
      </c>
    </row>
    <row r="11">
      <c r="A11" t="inlineStr">
        <is>
          <t>Post-Money Shares</t>
        </is>
      </c>
      <c r="B11">
        <f>B4+B7+B9</f>
        <v/>
      </c>
    </row>
    <row r="12">
      <c r="A12" s="8" t="inlineStr">
        <is>
          <t>Founder 1</t>
        </is>
      </c>
      <c r="B12" s="9">
        <f>'Post-Series A'!D12</f>
        <v/>
      </c>
      <c r="C12" s="9" t="n">
        <v>0</v>
      </c>
      <c r="D12" s="9">
        <f>B12</f>
        <v/>
      </c>
      <c r="E12" s="10">
        <f>IF(OR(B10=0,B10=""),0,D12/B10)</f>
        <v/>
      </c>
    </row>
    <row r="13">
      <c r="A13" s="14" t="inlineStr">
        <is>
          <t>Founder 2</t>
        </is>
      </c>
      <c r="B13" s="7">
        <f>'Post-Series A'!D13</f>
        <v/>
      </c>
      <c r="C13" s="7" t="n">
        <v>0</v>
      </c>
      <c r="D13" s="7">
        <f>B13</f>
        <v/>
      </c>
      <c r="E13" s="15">
        <f>IF(OR(B10=0,B10=""),0,D13/B10)</f>
        <v/>
      </c>
    </row>
    <row r="14">
      <c r="A14" s="12" t="inlineStr">
        <is>
          <t>Option Pool (Employees)</t>
        </is>
      </c>
      <c r="B14" s="9">
        <f>'Post-Series A'!D14</f>
        <v/>
      </c>
      <c r="C14" s="9">
        <f>B9</f>
        <v/>
      </c>
      <c r="D14" s="9">
        <f>B14+C14</f>
        <v/>
      </c>
      <c r="E14" s="10">
        <f>IF(OR(B10=0,B10=""),0,D14/B10)</f>
        <v/>
      </c>
    </row>
    <row r="15">
      <c r="A15" s="16" t="inlineStr">
        <is>
          <t>Seed Investors</t>
        </is>
      </c>
      <c r="B15" s="9">
        <f>'Post-Series A'!D15</f>
        <v/>
      </c>
      <c r="C15" s="9" t="n">
        <v>0</v>
      </c>
      <c r="D15" s="9">
        <f>B15</f>
        <v/>
      </c>
      <c r="E15" s="10">
        <f>IF(OR(B10=0,B10=""),0,D15/B10)</f>
        <v/>
      </c>
    </row>
    <row r="16">
      <c r="A16" s="17" t="inlineStr">
        <is>
          <t>Series A Investors</t>
        </is>
      </c>
      <c r="B16" s="9">
        <f>'Post-Series A'!D16</f>
        <v/>
      </c>
      <c r="C16" s="9" t="n">
        <v>0</v>
      </c>
      <c r="D16" s="9">
        <f>B16</f>
        <v/>
      </c>
      <c r="E16" s="10">
        <f>IF(OR(B10=0,B10=""),0,D16/B10)</f>
        <v/>
      </c>
    </row>
    <row r="17">
      <c r="A17" s="18" t="inlineStr">
        <is>
          <t>Series B Investors</t>
        </is>
      </c>
      <c r="B17" s="9" t="n">
        <v>0</v>
      </c>
      <c r="C17" s="9">
        <f>B7</f>
        <v/>
      </c>
      <c r="D17" s="9">
        <f>B17+C17</f>
        <v/>
      </c>
      <c r="E17" s="10">
        <f>IF(OR(B10=0,B10=""),0,D17/B10)</f>
        <v/>
      </c>
    </row>
    <row r="18">
      <c r="A18" s="13" t="inlineStr">
        <is>
          <t>TOTAL</t>
        </is>
      </c>
      <c r="B18" s="9">
        <f>SUM(B12:B17)</f>
        <v/>
      </c>
      <c r="C18" s="9">
        <f>SUM(C12:C17)</f>
        <v/>
      </c>
      <c r="D18" s="9">
        <f>B10</f>
        <v/>
      </c>
      <c r="E18" s="10">
        <f>SUM(E12:E17)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OWNERSHIP SUMMARY BY ROUND</t>
        </is>
      </c>
      <c r="B1" s="6" t="n"/>
      <c r="C1" s="6" t="n"/>
      <c r="D1" s="6" t="n"/>
      <c r="E1" s="6" t="n"/>
      <c r="F1" s="2" t="n"/>
    </row>
    <row r="3">
      <c r="A3" s="7" t="inlineStr">
        <is>
          <t>Stakeholder Class</t>
        </is>
      </c>
      <c r="B3" s="7" t="inlineStr">
        <is>
          <t>Pre-Money</t>
        </is>
      </c>
      <c r="C3" s="7" t="inlineStr">
        <is>
          <t>Post-Seed</t>
        </is>
      </c>
      <c r="D3" s="7" t="inlineStr">
        <is>
          <t>Post-Series A</t>
        </is>
      </c>
      <c r="E3" s="7" t="inlineStr">
        <is>
          <t>Post-Series B</t>
        </is>
      </c>
    </row>
    <row r="4">
      <c r="A4" s="8" t="inlineStr">
        <is>
          <t>Founders</t>
        </is>
      </c>
      <c r="B4" s="10">
        <f>'Pre-Money Structure'!C4+'Pre-Money Structure'!C5</f>
        <v/>
      </c>
      <c r="C4" s="10">
        <f>'Post-Seed'!E12+'Post-Seed'!E13</f>
        <v/>
      </c>
      <c r="D4" s="10">
        <f>'Post-Series A'!E12+'Post-Series A'!E13</f>
        <v/>
      </c>
      <c r="E4" s="10">
        <f>'Post-Series B'!E12+'Post-Series B'!E13</f>
        <v/>
      </c>
    </row>
    <row r="5">
      <c r="A5" s="12" t="inlineStr">
        <is>
          <t>Employees (Option Pool)</t>
        </is>
      </c>
      <c r="B5" s="10">
        <f>'Pre-Money Structure'!C6</f>
        <v/>
      </c>
      <c r="C5" s="10">
        <f>'Post-Seed'!E14</f>
        <v/>
      </c>
      <c r="D5" s="10">
        <f>'Post-Series A'!E14</f>
        <v/>
      </c>
      <c r="E5" s="10">
        <f>'Post-Series B'!E14</f>
        <v/>
      </c>
    </row>
    <row r="6">
      <c r="A6" s="16" t="inlineStr">
        <is>
          <t>Seed Investors</t>
        </is>
      </c>
      <c r="B6" s="10" t="n">
        <v>0</v>
      </c>
      <c r="C6" s="10">
        <f>'Post-Seed'!E15</f>
        <v/>
      </c>
      <c r="D6" s="10">
        <f>'Post-Series A'!E15</f>
        <v/>
      </c>
      <c r="E6" s="10">
        <f>'Post-Series B'!E15</f>
        <v/>
      </c>
    </row>
    <row r="7">
      <c r="A7" s="17" t="inlineStr">
        <is>
          <t>Series A Investors</t>
        </is>
      </c>
      <c r="B7" s="10" t="n">
        <v>0</v>
      </c>
      <c r="C7" s="10" t="n">
        <v>0</v>
      </c>
      <c r="D7" s="10">
        <f>'Post-Series A'!E16</f>
        <v/>
      </c>
      <c r="E7" s="10">
        <f>'Post-Series B'!E16</f>
        <v/>
      </c>
    </row>
    <row r="8">
      <c r="A8" s="18" t="inlineStr">
        <is>
          <t>Series B Investors</t>
        </is>
      </c>
      <c r="B8" s="10" t="n">
        <v>0</v>
      </c>
      <c r="C8" s="10" t="n">
        <v>0</v>
      </c>
      <c r="D8" s="10" t="n">
        <v>0</v>
      </c>
      <c r="E8" s="10">
        <f>'Post-Series B'!E17</f>
        <v/>
      </c>
    </row>
    <row r="9">
      <c r="A9" s="13" t="inlineStr">
        <is>
          <t>TOTAL</t>
        </is>
      </c>
      <c r="B9" s="10">
        <f>SUM(B4:B8)</f>
        <v/>
      </c>
      <c r="C9" s="10">
        <f>SUM(C4:C8)</f>
        <v/>
      </c>
      <c r="D9" s="10">
        <f>SUM(D4:D8)</f>
        <v/>
      </c>
      <c r="E9" s="10">
        <f>SUM(E4:E8)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2025-11-08T23:17:53Z</dcterms:created>
  <dcterms:modified xsi:type="dcterms:W3CDTF">2025-11-08T23:17:53Z</dcterms:modified>
</cp:coreProperties>
</file>