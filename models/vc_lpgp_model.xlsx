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pital Calls &amp; Fees" sheetId="2" state="visible" r:id="rId2"/>
    <sheet name="Distributions &amp; Carry" sheetId="3" state="visible" r:id="rId3"/>
    <sheet name="KPI 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LP vs GP Distributions</a:t>
            </a:r>
          </a:p>
        </rich>
      </tx>
    </title>
    <plotArea>
      <lineChart>
        <grouping val="standard"/>
        <ser>
          <idx val="0"/>
          <order val="0"/>
          <tx>
            <v>Cumulative LP Distribution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'Distributions &amp; Carry'!$A$2:$A$11</f>
            </numRef>
          </cat>
          <val>
            <numRef>
              <f>'Distributions &amp; Carry'!$G$2:$G$11</f>
            </numRef>
          </val>
        </ser>
        <ser>
          <idx val="1"/>
          <order val="1"/>
          <tx>
            <v>Cumulative GP Distribution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'Distributions &amp; Carry'!$A$2:$A$11</f>
            </numRef>
          </cat>
          <val>
            <numRef>
              <f>'Distributions &amp; Carry'!$H$2:$H$11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Yearly Exit Proceeds</a:t>
            </a:r>
          </a:p>
        </rich>
      </tx>
    </title>
    <plotArea>
      <barChart>
        <barDir val="col"/>
        <grouping val="clustered"/>
        <ser>
          <idx val="0"/>
          <order val="0"/>
          <tx>
            <v>Gross Proceeds</v>
          </tx>
          <spPr>
            <a:ln>
              <a:prstDash val="solid"/>
            </a:ln>
          </spPr>
          <cat>
            <numRef>
              <f>'Distributions &amp; Carry'!$A$2:$A$11</f>
            </numRef>
          </cat>
          <val>
            <numRef>
              <f>'Distributions &amp; Carry'!$B$2:$B$11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Proceeds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Fund size</t>
        </is>
      </c>
      <c r="B2" s="2" t="n">
        <v>150000000</v>
      </c>
      <c r="C2" t="inlineStr">
        <is>
          <t>Total committed capital</t>
        </is>
      </c>
    </row>
    <row r="3">
      <c r="A3" t="inlineStr">
        <is>
          <t>Mgmt Fee Yr1-5</t>
        </is>
      </c>
      <c r="B3" s="3" t="n">
        <v>0.02</v>
      </c>
      <c r="C3" t="inlineStr">
        <is>
          <t>of committed</t>
        </is>
      </c>
    </row>
    <row r="4">
      <c r="A4" t="inlineStr">
        <is>
          <t>Mgmt Fee Yr6-10</t>
        </is>
      </c>
      <c r="B4" s="3" t="n">
        <v>0.015</v>
      </c>
      <c r="C4" t="inlineStr">
        <is>
          <t>step-down</t>
        </is>
      </c>
    </row>
    <row r="5">
      <c r="A5" t="inlineStr">
        <is>
          <t>Carry</t>
        </is>
      </c>
      <c r="B5" s="4" t="n">
        <v>0.2</v>
      </c>
      <c r="C5" t="inlineStr">
        <is>
          <t>of profits over capital</t>
        </is>
      </c>
    </row>
    <row r="6">
      <c r="A6" t="inlineStr">
        <is>
          <t>Investment period</t>
        </is>
      </c>
      <c r="B6" s="4" t="n">
        <v>5</v>
      </c>
      <c r="C6" t="inlineStr">
        <is>
          <t>years</t>
        </is>
      </c>
    </row>
    <row r="7">
      <c r="A7" t="inlineStr">
        <is>
          <t>Fund life</t>
        </is>
      </c>
      <c r="B7" s="3" t="n">
        <v>10</v>
      </c>
      <c r="C7" t="inlineStr">
        <is>
          <t>years</t>
        </is>
      </c>
    </row>
    <row r="8">
      <c r="A8" t="inlineStr">
        <is>
          <t>Reserve ratio</t>
        </is>
      </c>
      <c r="B8" s="4" t="n">
        <v>0.4</v>
      </c>
      <c r="C8" t="inlineStr">
        <is>
          <t>follow-ons</t>
        </is>
      </c>
    </row>
    <row r="9">
      <c r="A9" t="inlineStr">
        <is>
          <t>Portfolio companies</t>
        </is>
      </c>
      <c r="B9" s="3" t="n">
        <v>30</v>
      </c>
      <c r="C9" t="inlineStr"/>
    </row>
    <row r="10">
      <c r="A10" t="inlineStr">
        <is>
          <t>Target MOIC</t>
        </is>
      </c>
      <c r="B10" s="3" t="n">
        <v>2.8</v>
      </c>
      <c r="C10" t="inlineStr"/>
    </row>
    <row r="11">
      <c r="A11" t="inlineStr">
        <is>
          <t>Target IRR</t>
        </is>
      </c>
      <c r="B11" s="3" t="n">
        <v>0.2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Year</t>
        </is>
      </c>
      <c r="B1" s="5" t="inlineStr">
        <is>
          <t>Capital Called</t>
        </is>
      </c>
      <c r="C1" s="5" t="inlineStr">
        <is>
          <t>Mgmt Fee</t>
        </is>
      </c>
      <c r="D1" s="5" t="inlineStr">
        <is>
          <t>Net Invested</t>
        </is>
      </c>
      <c r="E1" s="5" t="inlineStr">
        <is>
          <t>Cumulative Capital</t>
        </is>
      </c>
    </row>
    <row r="2">
      <c r="A2" s="6" t="n">
        <v>1</v>
      </c>
      <c r="B2" s="2">
        <f>Assumptions!B1/5</f>
        <v/>
      </c>
      <c r="C2" s="2">
        <f>IF(A2&lt;=5,Assumptions!B2,Assumptions!B3)*Assumptions!B1</f>
        <v/>
      </c>
      <c r="D2" s="2">
        <f>B2-C2</f>
        <v/>
      </c>
      <c r="E2" s="2">
        <f>SUM($B$2:B2)</f>
        <v/>
      </c>
    </row>
    <row r="3">
      <c r="A3" s="6" t="n">
        <v>2</v>
      </c>
      <c r="B3" s="2">
        <f>Assumptions!B1/5</f>
        <v/>
      </c>
      <c r="C3" s="2">
        <f>IF(A3&lt;=5,Assumptions!B2,Assumptions!B3)*Assumptions!B1</f>
        <v/>
      </c>
      <c r="D3" s="2">
        <f>B3-C3</f>
        <v/>
      </c>
      <c r="E3" s="2">
        <f>SUM($B$2:B3)</f>
        <v/>
      </c>
    </row>
    <row r="4">
      <c r="A4" s="6" t="n">
        <v>3</v>
      </c>
      <c r="B4" s="2">
        <f>Assumptions!B1/5</f>
        <v/>
      </c>
      <c r="C4" s="2">
        <f>IF(A4&lt;=5,Assumptions!B2,Assumptions!B3)*Assumptions!B1</f>
        <v/>
      </c>
      <c r="D4" s="2">
        <f>B4-C4</f>
        <v/>
      </c>
      <c r="E4" s="2">
        <f>SUM($B$2:B4)</f>
        <v/>
      </c>
    </row>
    <row r="5">
      <c r="A5" s="6" t="n">
        <v>4</v>
      </c>
      <c r="B5" s="2">
        <f>Assumptions!B1/5</f>
        <v/>
      </c>
      <c r="C5" s="2">
        <f>IF(A5&lt;=5,Assumptions!B2,Assumptions!B3)*Assumptions!B1</f>
        <v/>
      </c>
      <c r="D5" s="2">
        <f>B5-C5</f>
        <v/>
      </c>
      <c r="E5" s="2">
        <f>SUM($B$2:B5)</f>
        <v/>
      </c>
    </row>
    <row r="6">
      <c r="A6" s="6" t="n">
        <v>5</v>
      </c>
      <c r="B6" s="2">
        <f>Assumptions!B1/5</f>
        <v/>
      </c>
      <c r="C6" s="2">
        <f>IF(A6&lt;=5,Assumptions!B2,Assumptions!B3)*Assumptions!B1</f>
        <v/>
      </c>
      <c r="D6" s="2">
        <f>B6-C6</f>
        <v/>
      </c>
      <c r="E6" s="2">
        <f>SUM($B$2:B6)</f>
        <v/>
      </c>
    </row>
    <row r="7">
      <c r="A7" s="6" t="n">
        <v>6</v>
      </c>
      <c r="B7" s="2" t="n">
        <v>0</v>
      </c>
      <c r="C7" s="2">
        <f>IF(A7&lt;=5,Assumptions!B2,Assumptions!B3)*Assumptions!B1</f>
        <v/>
      </c>
      <c r="D7" s="2">
        <f>B7-C7</f>
        <v/>
      </c>
      <c r="E7" s="2">
        <f>SUM($B$2:B7)</f>
        <v/>
      </c>
    </row>
    <row r="8">
      <c r="A8" s="6" t="n">
        <v>7</v>
      </c>
      <c r="B8" s="2" t="n">
        <v>0</v>
      </c>
      <c r="C8" s="2">
        <f>IF(A8&lt;=5,Assumptions!B2,Assumptions!B3)*Assumptions!B1</f>
        <v/>
      </c>
      <c r="D8" s="2">
        <f>B8-C8</f>
        <v/>
      </c>
      <c r="E8" s="2">
        <f>SUM($B$2:B8)</f>
        <v/>
      </c>
    </row>
    <row r="9">
      <c r="A9" s="6" t="n">
        <v>8</v>
      </c>
      <c r="B9" s="2" t="n">
        <v>0</v>
      </c>
      <c r="C9" s="2">
        <f>IF(A9&lt;=5,Assumptions!B2,Assumptions!B3)*Assumptions!B1</f>
        <v/>
      </c>
      <c r="D9" s="2">
        <f>B9-C9</f>
        <v/>
      </c>
      <c r="E9" s="2">
        <f>SUM($B$2:B9)</f>
        <v/>
      </c>
    </row>
    <row r="10">
      <c r="A10" s="6" t="n">
        <v>9</v>
      </c>
      <c r="B10" s="2" t="n">
        <v>0</v>
      </c>
      <c r="C10" s="2">
        <f>IF(A10&lt;=5,Assumptions!B2,Assumptions!B3)*Assumptions!B1</f>
        <v/>
      </c>
      <c r="D10" s="2">
        <f>B10-C10</f>
        <v/>
      </c>
      <c r="E10" s="2">
        <f>SUM($B$2:B10)</f>
        <v/>
      </c>
    </row>
    <row r="11">
      <c r="A11" s="6" t="n">
        <v>10</v>
      </c>
      <c r="B11" s="2" t="n">
        <v>0</v>
      </c>
      <c r="C11" s="2">
        <f>IF(A11&lt;=5,Assumptions!B2,Assumptions!B3)*Assumptions!B1</f>
        <v/>
      </c>
      <c r="D11" s="2">
        <f>B11-C11</f>
        <v/>
      </c>
      <c r="E11" s="2">
        <f>SUM($B$2:B11)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Year</t>
        </is>
      </c>
      <c r="B1" s="5" t="inlineStr">
        <is>
          <t>Gross Proceeds</t>
        </is>
      </c>
      <c r="C1" s="5" t="inlineStr">
        <is>
          <t>Gain</t>
        </is>
      </c>
      <c r="D1" s="5" t="inlineStr">
        <is>
          <t>Carry (20%)</t>
        </is>
      </c>
      <c r="E1" s="5" t="inlineStr">
        <is>
          <t>LP Distribution</t>
        </is>
      </c>
      <c r="F1" s="5" t="inlineStr">
        <is>
          <t>GP Distribution</t>
        </is>
      </c>
      <c r="G1" s="5" t="inlineStr">
        <is>
          <t>Cumulative LP</t>
        </is>
      </c>
      <c r="H1" s="5" t="inlineStr">
        <is>
          <t>Cumulative GP</t>
        </is>
      </c>
      <c r="I1" s="5" t="inlineStr">
        <is>
          <t>Net Cash Flow (for IRR)</t>
        </is>
      </c>
    </row>
    <row r="2">
      <c r="A2" s="6" t="n">
        <v>1</v>
      </c>
      <c r="B2" s="2" t="n">
        <v>0</v>
      </c>
      <c r="C2" s="2">
        <f>B2-SUM('Capital Calls &amp; Fees'!D2:D2)</f>
        <v/>
      </c>
      <c r="D2" s="2">
        <f>MAX(0,C2*Assumptions!B5)</f>
        <v/>
      </c>
      <c r="E2" s="2">
        <f>B2-D2</f>
        <v/>
      </c>
      <c r="F2" s="2">
        <f>D2</f>
        <v/>
      </c>
      <c r="G2" s="2">
        <f>SUM($E$2:E2)</f>
        <v/>
      </c>
      <c r="H2" s="2">
        <f>SUM($F$2:F2)</f>
        <v/>
      </c>
      <c r="I2" s="2">
        <f>-'Capital Calls &amp; Fees'!B2+E2</f>
        <v/>
      </c>
    </row>
    <row r="3">
      <c r="A3" s="6" t="n">
        <v>2</v>
      </c>
      <c r="B3" s="2" t="n">
        <v>0</v>
      </c>
      <c r="C3" s="2">
        <f>B3-SUM('Capital Calls &amp; Fees'!D2:D3)</f>
        <v/>
      </c>
      <c r="D3" s="2">
        <f>MAX(0,C3*Assumptions!B5)</f>
        <v/>
      </c>
      <c r="E3" s="2">
        <f>B3-D3</f>
        <v/>
      </c>
      <c r="F3" s="2">
        <f>D3</f>
        <v/>
      </c>
      <c r="G3" s="2">
        <f>SUM($E$2:E3)</f>
        <v/>
      </c>
      <c r="H3" s="2">
        <f>SUM($F$2:F3)</f>
        <v/>
      </c>
      <c r="I3" s="2">
        <f>-'Capital Calls &amp; Fees'!B3+E3</f>
        <v/>
      </c>
    </row>
    <row r="4">
      <c r="A4" s="6" t="n">
        <v>3</v>
      </c>
      <c r="B4" s="2" t="n">
        <v>0</v>
      </c>
      <c r="C4" s="2">
        <f>B4-SUM('Capital Calls &amp; Fees'!D2:D4)</f>
        <v/>
      </c>
      <c r="D4" s="2">
        <f>MAX(0,C4*Assumptions!B5)</f>
        <v/>
      </c>
      <c r="E4" s="2">
        <f>B4-D4</f>
        <v/>
      </c>
      <c r="F4" s="2">
        <f>D4</f>
        <v/>
      </c>
      <c r="G4" s="2">
        <f>SUM($E$2:E4)</f>
        <v/>
      </c>
      <c r="H4" s="2">
        <f>SUM($F$2:F4)</f>
        <v/>
      </c>
      <c r="I4" s="2">
        <f>-'Capital Calls &amp; Fees'!B4+E4</f>
        <v/>
      </c>
    </row>
    <row r="5">
      <c r="A5" s="6" t="n">
        <v>4</v>
      </c>
      <c r="B5" s="2" t="n">
        <v>0</v>
      </c>
      <c r="C5" s="2">
        <f>B5-SUM('Capital Calls &amp; Fees'!D2:D5)</f>
        <v/>
      </c>
      <c r="D5" s="2">
        <f>MAX(0,C5*Assumptions!B5)</f>
        <v/>
      </c>
      <c r="E5" s="2">
        <f>B5-D5</f>
        <v/>
      </c>
      <c r="F5" s="2">
        <f>D5</f>
        <v/>
      </c>
      <c r="G5" s="2">
        <f>SUM($E$2:E5)</f>
        <v/>
      </c>
      <c r="H5" s="2">
        <f>SUM($F$2:F5)</f>
        <v/>
      </c>
      <c r="I5" s="2">
        <f>-'Capital Calls &amp; Fees'!B5+E5</f>
        <v/>
      </c>
    </row>
    <row r="6">
      <c r="A6" s="6" t="n">
        <v>5</v>
      </c>
      <c r="B6" s="2" t="n">
        <v>0</v>
      </c>
      <c r="C6" s="2">
        <f>B6-SUM('Capital Calls &amp; Fees'!D2:D6)</f>
        <v/>
      </c>
      <c r="D6" s="2">
        <f>MAX(0,C6*Assumptions!B5)</f>
        <v/>
      </c>
      <c r="E6" s="2">
        <f>B6-D6</f>
        <v/>
      </c>
      <c r="F6" s="2">
        <f>D6</f>
        <v/>
      </c>
      <c r="G6" s="2">
        <f>SUM($E$2:E6)</f>
        <v/>
      </c>
      <c r="H6" s="2">
        <f>SUM($F$2:F6)</f>
        <v/>
      </c>
      <c r="I6" s="2">
        <f>-'Capital Calls &amp; Fees'!B6+E6</f>
        <v/>
      </c>
    </row>
    <row r="7">
      <c r="A7" s="6" t="n">
        <v>6</v>
      </c>
      <c r="B7" s="2">
        <f>SUM('Capital Calls &amp; Fees'!D2:D6)*Assumptions!B9*0.1</f>
        <v/>
      </c>
      <c r="C7" s="2">
        <f>B7-SUM('Capital Calls &amp; Fees'!D2:D6)</f>
        <v/>
      </c>
      <c r="D7" s="2">
        <f>MAX(0,C7*Assumptions!B5)</f>
        <v/>
      </c>
      <c r="E7" s="2">
        <f>B7-D7</f>
        <v/>
      </c>
      <c r="F7" s="2">
        <f>D7</f>
        <v/>
      </c>
      <c r="G7" s="2">
        <f>SUM($E$2:E7)</f>
        <v/>
      </c>
      <c r="H7" s="2">
        <f>SUM($F$2:F7)</f>
        <v/>
      </c>
      <c r="I7" s="2">
        <f>-'Capital Calls &amp; Fees'!B7+E7</f>
        <v/>
      </c>
    </row>
    <row r="8">
      <c r="A8" s="6" t="n">
        <v>7</v>
      </c>
      <c r="B8" s="2">
        <f>SUM('Capital Calls &amp; Fees'!D2:D6)*Assumptions!B9*0.2</f>
        <v/>
      </c>
      <c r="C8" s="2">
        <f>B8-SUM('Capital Calls &amp; Fees'!D2:D6)</f>
        <v/>
      </c>
      <c r="D8" s="2">
        <f>MAX(0,C8*Assumptions!B5)</f>
        <v/>
      </c>
      <c r="E8" s="2">
        <f>B8-D8</f>
        <v/>
      </c>
      <c r="F8" s="2">
        <f>D8</f>
        <v/>
      </c>
      <c r="G8" s="2">
        <f>SUM($E$2:E8)</f>
        <v/>
      </c>
      <c r="H8" s="2">
        <f>SUM($F$2:F8)</f>
        <v/>
      </c>
      <c r="I8" s="2">
        <f>-'Capital Calls &amp; Fees'!B8+E8</f>
        <v/>
      </c>
    </row>
    <row r="9">
      <c r="A9" s="6" t="n">
        <v>8</v>
      </c>
      <c r="B9" s="2">
        <f>SUM('Capital Calls &amp; Fees'!D2:D6)*Assumptions!B9*0.3</f>
        <v/>
      </c>
      <c r="C9" s="2">
        <f>B9-SUM('Capital Calls &amp; Fees'!D2:D6)</f>
        <v/>
      </c>
      <c r="D9" s="2">
        <f>MAX(0,C9*Assumptions!B5)</f>
        <v/>
      </c>
      <c r="E9" s="2">
        <f>B9-D9</f>
        <v/>
      </c>
      <c r="F9" s="2">
        <f>D9</f>
        <v/>
      </c>
      <c r="G9" s="2">
        <f>SUM($E$2:E9)</f>
        <v/>
      </c>
      <c r="H9" s="2">
        <f>SUM($F$2:F9)</f>
        <v/>
      </c>
      <c r="I9" s="2">
        <f>-'Capital Calls &amp; Fees'!B9+E9</f>
        <v/>
      </c>
    </row>
    <row r="10">
      <c r="A10" s="6" t="n">
        <v>9</v>
      </c>
      <c r="B10" s="2">
        <f>SUM('Capital Calls &amp; Fees'!D2:D6)*Assumptions!B9*0.3</f>
        <v/>
      </c>
      <c r="C10" s="2">
        <f>B10-SUM('Capital Calls &amp; Fees'!D2:D6)</f>
        <v/>
      </c>
      <c r="D10" s="2">
        <f>MAX(0,C10*Assumptions!B5)</f>
        <v/>
      </c>
      <c r="E10" s="2">
        <f>B10-D10</f>
        <v/>
      </c>
      <c r="F10" s="2">
        <f>D10</f>
        <v/>
      </c>
      <c r="G10" s="2">
        <f>SUM($E$2:E10)</f>
        <v/>
      </c>
      <c r="H10" s="2">
        <f>SUM($F$2:F10)</f>
        <v/>
      </c>
      <c r="I10" s="2">
        <f>-'Capital Calls &amp; Fees'!B10+E10</f>
        <v/>
      </c>
    </row>
    <row r="11">
      <c r="A11" s="6" t="n">
        <v>10</v>
      </c>
      <c r="B11" s="2">
        <f>SUM('Capital Calls &amp; Fees'!D2:D6)*Assumptions!B9*0.1</f>
        <v/>
      </c>
      <c r="C11" s="2">
        <f>B11-SUM('Capital Calls &amp; Fees'!D2:D6)</f>
        <v/>
      </c>
      <c r="D11" s="2">
        <f>MAX(0,C11*Assumptions!B5)</f>
        <v/>
      </c>
      <c r="E11" s="2">
        <f>B11-D11</f>
        <v/>
      </c>
      <c r="F11" s="2">
        <f>D11</f>
        <v/>
      </c>
      <c r="G11" s="2">
        <f>SUM($E$2:E11)</f>
        <v/>
      </c>
      <c r="H11" s="2">
        <f>SUM($F$2:F11)</f>
        <v/>
      </c>
      <c r="I11" s="2">
        <f>-'Capital Calls &amp; Fees'!B11+E11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VC Fund Performance Dashboard</t>
        </is>
      </c>
    </row>
    <row r="3">
      <c r="A3" s="1" t="inlineStr">
        <is>
          <t>Metric</t>
        </is>
      </c>
      <c r="B3" s="8" t="inlineStr">
        <is>
          <t>Value</t>
        </is>
      </c>
    </row>
    <row r="4">
      <c r="A4" s="9" t="inlineStr">
        <is>
          <t>Total Paid-In Capital</t>
        </is>
      </c>
      <c r="B4" s="2">
        <f>SUM('Capital Calls &amp; Fees'!B2:B11)</f>
        <v/>
      </c>
    </row>
    <row r="5">
      <c r="A5" s="9" t="inlineStr">
        <is>
          <t>Total Net Invested</t>
        </is>
      </c>
      <c r="B5" s="2">
        <f>SUM('Capital Calls &amp; Fees'!D2:D11)</f>
        <v/>
      </c>
    </row>
    <row r="6">
      <c r="A6" s="9" t="inlineStr">
        <is>
          <t>Total Gross Proceeds</t>
        </is>
      </c>
      <c r="B6" s="2">
        <f>SUM('Distributions &amp; Carry'!B2:B11)</f>
        <v/>
      </c>
    </row>
    <row r="7">
      <c r="A7" s="9" t="inlineStr">
        <is>
          <t>Total Distributions to LP</t>
        </is>
      </c>
      <c r="B7" s="2">
        <f>SUM('Distributions &amp; Carry'!E2:E11)</f>
        <v/>
      </c>
    </row>
    <row r="8">
      <c r="A8" s="9" t="inlineStr">
        <is>
          <t>Total GP Carry</t>
        </is>
      </c>
      <c r="B8" s="2">
        <f>SUM('Distributions &amp; Carry'!D2:D11)</f>
        <v/>
      </c>
    </row>
    <row r="9">
      <c r="A9" s="9" t="inlineStr">
        <is>
          <t>DPI (Distributed to Paid-In)</t>
        </is>
      </c>
      <c r="B9" s="3">
        <f>IF(B3=0,0,B6/B3)</f>
        <v/>
      </c>
    </row>
    <row r="10">
      <c r="A10" s="9" t="inlineStr">
        <is>
          <t>MOIC (Multiple on Invested Capital)</t>
        </is>
      </c>
      <c r="B10" s="3">
        <f>IF(B4=0,0,B5/B4)</f>
        <v/>
      </c>
    </row>
    <row r="11">
      <c r="A11" s="9" t="inlineStr">
        <is>
          <t>IRR (Internal Rate of Return)</t>
        </is>
      </c>
      <c r="B11" s="3">
        <f>IRR('Distributions &amp; Carry'!I2:I11,0.1)</f>
        <v/>
      </c>
    </row>
    <row r="12">
      <c r="A12" s="9" t="inlineStr">
        <is>
          <t>GP % of Total Profit</t>
        </is>
      </c>
      <c r="B12" s="3">
        <f>IF((B6+B7)=0,0,B7/(B6+B7))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2025-11-08T23:17:09Z</dcterms:created>
  <dcterms:modified xsi:type="dcterms:W3CDTF">2025-11-08T23:17:09Z</dcterms:modified>
</cp:coreProperties>
</file>